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6735"/>
  </bookViews>
  <sheets>
    <sheet name="INVEST" sheetId="1" r:id="rId1"/>
    <sheet name="Percentual por Perfil" sheetId="3" r:id="rId2"/>
    <sheet name="Perguntas de Negócio" sheetId="2" r:id="rId3"/>
  </sheets>
  <definedNames>
    <definedName name="aporte">INVEST!$D$27</definedName>
    <definedName name="patrimonio">INVEST!$D$30</definedName>
    <definedName name="preco_atual_cota">INVEST!$D$17</definedName>
    <definedName name="preco_sobre_valor_patrimonial">INVEST!$D$21</definedName>
    <definedName name="qtd_anos">INVEST!$D$28</definedName>
    <definedName name="rendimento_carteira">INVEST!$D$13</definedName>
    <definedName name="salario">INVEST!$D$12</definedName>
    <definedName name="sugestao_investimento">INVEST!$D$14</definedName>
    <definedName name="taxa_mensal">INVEST!$D$29</definedName>
    <definedName name="ultimo_dividendo">INVEST!$D$19</definedName>
    <definedName name="valor_medio_cota">INVEST!$D$20</definedName>
    <definedName name="valor_patrimonial_acao">INVEST!$D$18</definedName>
  </definedNames>
  <calcPr calcId="145621"/>
</workbook>
</file>

<file path=xl/calcChain.xml><?xml version="1.0" encoding="utf-8"?>
<calcChain xmlns="http://schemas.openxmlformats.org/spreadsheetml/2006/main">
  <c r="D24" i="1" l="1"/>
  <c r="D23" i="1"/>
  <c r="D22" i="1"/>
  <c r="D21" i="1"/>
  <c r="D14" i="1"/>
  <c r="I5" i="3"/>
  <c r="C46" i="1" l="1"/>
  <c r="C47" i="1"/>
  <c r="C48" i="1"/>
  <c r="C49" i="1"/>
  <c r="C50" i="1"/>
  <c r="C45" i="1"/>
  <c r="D42" i="1"/>
  <c r="C36" i="1"/>
  <c r="D36" i="1" s="1"/>
  <c r="C37" i="1"/>
  <c r="D37" i="1" s="1"/>
  <c r="C38" i="1"/>
  <c r="D38" i="1" s="1"/>
  <c r="C39" i="1"/>
  <c r="D39" i="1" s="1"/>
  <c r="C35" i="1"/>
  <c r="D35" i="1" s="1"/>
  <c r="D30" i="1"/>
  <c r="D31" i="1" s="1"/>
  <c r="D49" i="1" l="1"/>
  <c r="D48" i="1"/>
  <c r="D45" i="1"/>
  <c r="D47" i="1"/>
  <c r="D50" i="1"/>
  <c r="D46" i="1"/>
  <c r="D51" i="1" l="1"/>
  <c r="B4" i="3" l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3" i="3"/>
</calcChain>
</file>

<file path=xl/comments1.xml><?xml version="1.0" encoding="utf-8"?>
<comments xmlns="http://schemas.openxmlformats.org/spreadsheetml/2006/main">
  <authors>
    <author>Hisly</author>
  </authors>
  <commentList>
    <comment ref="B18" authorId="0">
      <text>
        <r>
          <rPr>
            <b/>
            <sz val="9"/>
            <color indexed="81"/>
            <rFont val="Tahoma"/>
            <family val="2"/>
          </rPr>
          <t>Você encontra esse dado no site Status Invest ou Funds Explorer.</t>
        </r>
      </text>
    </comment>
    <comment ref="B21" authorId="0">
      <text>
        <r>
          <rPr>
            <b/>
            <sz val="9"/>
            <color indexed="81"/>
            <rFont val="Tahoma"/>
            <family val="2"/>
          </rPr>
          <t>Indica se o fundo está caro ou barato em relação ao valor real dos imóveis/ativos.</t>
        </r>
      </text>
    </comment>
    <comment ref="B23" authorId="0">
      <text>
        <r>
          <rPr>
            <b/>
            <sz val="9"/>
            <color indexed="81"/>
            <rFont val="Tahoma"/>
            <family val="2"/>
          </rPr>
          <t>Quantas cotas você precisa ter para que o dividendo pague uma nova cota. Se o resultado for 100, ao atingir 100 cotas, o fundo se "autoalimenta" todos os meses.</t>
        </r>
      </text>
    </comment>
    <comment ref="B24" authorId="0">
      <text>
        <r>
          <rPr>
            <b/>
            <sz val="9"/>
            <color indexed="81"/>
            <rFont val="Tahoma"/>
            <family val="2"/>
          </rPr>
          <t>A sua rentabilidade real baseada no preço que VOCÊ pagou, não no preço de hoje. Se o Dividend Yield de tela é 1%, mas seu YoC é 1,5%, significa que sua estratégia de comprar barato no passado está rendendo frutos excelentes.</t>
        </r>
      </text>
    </comment>
  </commentList>
</comments>
</file>

<file path=xl/sharedStrings.xml><?xml version="1.0" encoding="utf-8"?>
<sst xmlns="http://schemas.openxmlformats.org/spreadsheetml/2006/main" count="86" uniqueCount="48">
  <si>
    <t>INFORMAÇÕES INICIAIS</t>
  </si>
  <si>
    <t>Salário</t>
  </si>
  <si>
    <t>Rendimento Carteira</t>
  </si>
  <si>
    <t>Sugestão de Investimento (30%)</t>
  </si>
  <si>
    <t>INVESTIMENTO MENSAL</t>
  </si>
  <si>
    <t>Quanto investir por mês?</t>
  </si>
  <si>
    <t>Por quantos anos?</t>
  </si>
  <si>
    <t>Qual a taxa de rendimento mensal?</t>
  </si>
  <si>
    <t>Patrimônio acumulado?</t>
  </si>
  <si>
    <t>Dividendos mensais?</t>
  </si>
  <si>
    <t>CENÁRIOS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</si>
  <si>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</si>
  <si>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</si>
  <si>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</si>
  <si>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</si>
  <si>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</si>
  <si>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</si>
  <si>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</si>
  <si>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</si>
  <si>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</si>
  <si>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</si>
  <si>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</si>
  <si>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</si>
  <si>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</si>
  <si>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</si>
  <si>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</si>
  <si>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</si>
  <si>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</si>
  <si>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Perguntas de negócio para criar um simulador simples de investimento:</t>
  </si>
  <si>
    <t>Taxa de rendimento mensal?</t>
  </si>
  <si>
    <t>Quanto de patrimônio acumulado terei?</t>
  </si>
  <si>
    <t>Quanto são os dividendos mensais?</t>
  </si>
  <si>
    <t>Preço atual da cota</t>
  </si>
  <si>
    <t>Valor patrimonial por ação</t>
  </si>
  <si>
    <t>P/VP (Preço sobre Valor Patrimonial)</t>
  </si>
  <si>
    <t>Está com desconto ou está sendo negociado com ágio (caro)?</t>
  </si>
  <si>
    <t>Último rendimento (dividendo) pago por cota</t>
  </si>
  <si>
    <t>Número Mágico (Cotas para Autossustentabilidade)</t>
  </si>
  <si>
    <t>Quanto você pagou em média por cota?</t>
  </si>
  <si>
    <t>Yield on Cost (YoC)</t>
  </si>
  <si>
    <t>CHAVE</t>
  </si>
  <si>
    <t>%</t>
  </si>
  <si>
    <t>Conservador</t>
  </si>
  <si>
    <t>Moderado</t>
  </si>
  <si>
    <t>Agressivo</t>
  </si>
  <si>
    <t>INFORMAÇÕES IMPORTANTES PARA DECIDIR ALOCAÇÃO</t>
  </si>
  <si>
    <t>Escolha o perfil/tipo:</t>
  </si>
  <si>
    <t>Conservador-HÍBRIDOS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</si>
</sst>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1"/>
      <name val="Ebrima"/>
    </font>
    <font>
      <sz val="11"/>
      <color theme="0"/>
      <name val="Ebrima"/>
    </font>
    <font>
      <b/>
      <sz val="12"/>
      <color theme="0"/>
      <name val="Ebrima"/>
    </font>
    <font>
      <sz val="12"/>
      <color theme="1"/>
      <name val="Ebrima"/>
    </font>
    <font>
      <b/>
      <sz val="12"/>
      <name val="Ebrima"/>
    </font>
    <font>
      <b/>
      <sz val="12"/>
      <color rgb="FF3F3F3F"/>
      <name val="Ebrima"/>
    </font>
    <font>
      <sz val="12"/>
      <name val="Ebrima"/>
    </font>
    <font>
      <b/>
      <sz val="12"/>
      <color theme="1"/>
      <name val="Ebrima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00800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44" fontId="1" fillId="0" borderId="0" applyFont="0" applyFill="0" applyBorder="0" applyAlignment="0" applyProtection="0"/>
    <xf numFmtId="0" fontId="4" fillId="3" borderId="1" applyNumberFormat="0" applyAlignment="0" applyProtection="0"/>
  </cellStyleXfs>
  <cellXfs count="69">
    <xf numFmtId="0" fontId="0" fillId="0" borderId="0" xfId="0"/>
    <xf numFmtId="0" fontId="0" fillId="0" borderId="0" xfId="0"/>
    <xf numFmtId="0" fontId="0" fillId="0" borderId="0" xfId="0"/>
    <xf numFmtId="0" fontId="5" fillId="0" borderId="0" xfId="0" applyFont="1"/>
    <xf numFmtId="0" fontId="6" fillId="0" borderId="0" xfId="0" applyFont="1"/>
    <xf numFmtId="0" fontId="7" fillId="13" borderId="2" xfId="0" applyFont="1" applyFill="1" applyBorder="1" applyAlignment="1">
      <alignment horizontal="center"/>
    </xf>
    <xf numFmtId="0" fontId="7" fillId="13" borderId="3" xfId="0" applyFont="1" applyFill="1" applyBorder="1" applyAlignment="1">
      <alignment horizontal="center"/>
    </xf>
    <xf numFmtId="0" fontId="7" fillId="13" borderId="4" xfId="0" applyFont="1" applyFill="1" applyBorder="1" applyAlignment="1">
      <alignment horizontal="center"/>
    </xf>
    <xf numFmtId="0" fontId="8" fillId="11" borderId="5" xfId="0" applyFont="1" applyFill="1" applyBorder="1" applyAlignment="1">
      <alignment horizontal="left" indent="1"/>
    </xf>
    <xf numFmtId="0" fontId="8" fillId="11" borderId="6" xfId="0" applyFont="1" applyFill="1" applyBorder="1" applyAlignment="1">
      <alignment horizontal="left" indent="1"/>
    </xf>
    <xf numFmtId="164" fontId="8" fillId="0" borderId="7" xfId="3" applyNumberFormat="1" applyFont="1" applyBorder="1" applyAlignment="1">
      <alignment horizontal="center"/>
    </xf>
    <xf numFmtId="10" fontId="8" fillId="0" borderId="7" xfId="0" applyNumberFormat="1" applyFont="1" applyBorder="1" applyAlignment="1">
      <alignment horizontal="center"/>
    </xf>
    <xf numFmtId="0" fontId="8" fillId="11" borderId="8" xfId="0" applyFont="1" applyFill="1" applyBorder="1" applyAlignment="1">
      <alignment horizontal="left" indent="1"/>
    </xf>
    <xf numFmtId="0" fontId="8" fillId="11" borderId="9" xfId="0" applyFont="1" applyFill="1" applyBorder="1" applyAlignment="1">
      <alignment horizontal="left" indent="1"/>
    </xf>
    <xf numFmtId="164" fontId="8" fillId="11" borderId="10" xfId="0" applyNumberFormat="1" applyFont="1" applyFill="1" applyBorder="1" applyAlignment="1">
      <alignment horizontal="center"/>
    </xf>
    <xf numFmtId="0" fontId="8" fillId="0" borderId="0" xfId="0" applyFont="1"/>
    <xf numFmtId="0" fontId="7" fillId="10" borderId="2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8" fillId="12" borderId="5" xfId="0" applyFont="1" applyFill="1" applyBorder="1" applyAlignment="1">
      <alignment horizontal="left" indent="1"/>
    </xf>
    <xf numFmtId="0" fontId="8" fillId="12" borderId="6" xfId="0" applyFont="1" applyFill="1" applyBorder="1" applyAlignment="1">
      <alignment horizontal="left" indent="1"/>
    </xf>
    <xf numFmtId="164" fontId="8" fillId="0" borderId="7" xfId="0" applyNumberFormat="1" applyFont="1" applyBorder="1" applyAlignment="1">
      <alignment horizontal="center"/>
    </xf>
    <xf numFmtId="2" fontId="8" fillId="12" borderId="7" xfId="0" applyNumberFormat="1" applyFont="1" applyFill="1" applyBorder="1" applyAlignment="1">
      <alignment horizontal="center"/>
    </xf>
    <xf numFmtId="0" fontId="8" fillId="12" borderId="7" xfId="0" applyFont="1" applyFill="1" applyBorder="1" applyAlignment="1">
      <alignment horizontal="center"/>
    </xf>
    <xf numFmtId="0" fontId="8" fillId="12" borderId="8" xfId="0" applyFont="1" applyFill="1" applyBorder="1" applyAlignment="1">
      <alignment horizontal="left" indent="1"/>
    </xf>
    <xf numFmtId="0" fontId="8" fillId="12" borderId="9" xfId="0" applyFont="1" applyFill="1" applyBorder="1" applyAlignment="1">
      <alignment horizontal="left" indent="1"/>
    </xf>
    <xf numFmtId="10" fontId="8" fillId="12" borderId="10" xfId="1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left" indent="1"/>
    </xf>
    <xf numFmtId="0" fontId="8" fillId="6" borderId="6" xfId="0" applyFont="1" applyFill="1" applyBorder="1" applyAlignment="1">
      <alignment horizontal="left" indent="1"/>
    </xf>
    <xf numFmtId="1" fontId="8" fillId="0" borderId="7" xfId="0" applyNumberFormat="1" applyFont="1" applyBorder="1" applyAlignment="1">
      <alignment horizontal="center"/>
    </xf>
    <xf numFmtId="10" fontId="8" fillId="0" borderId="7" xfId="1" applyNumberFormat="1" applyFont="1" applyBorder="1" applyAlignment="1">
      <alignment horizontal="center"/>
    </xf>
    <xf numFmtId="164" fontId="8" fillId="6" borderId="7" xfId="0" applyNumberFormat="1" applyFont="1" applyFill="1" applyBorder="1" applyAlignment="1">
      <alignment horizontal="center"/>
    </xf>
    <xf numFmtId="0" fontId="8" fillId="6" borderId="8" xfId="0" applyFont="1" applyFill="1" applyBorder="1" applyAlignment="1">
      <alignment horizontal="left" indent="1"/>
    </xf>
    <xf numFmtId="0" fontId="8" fillId="6" borderId="9" xfId="0" applyFont="1" applyFill="1" applyBorder="1" applyAlignment="1">
      <alignment horizontal="left" indent="1"/>
    </xf>
    <xf numFmtId="164" fontId="8" fillId="6" borderId="10" xfId="0" applyNumberFormat="1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left" indent="1"/>
    </xf>
    <xf numFmtId="8" fontId="8" fillId="6" borderId="6" xfId="0" applyNumberFormat="1" applyFont="1" applyFill="1" applyBorder="1" applyAlignment="1">
      <alignment horizontal="center"/>
    </xf>
    <xf numFmtId="8" fontId="8" fillId="6" borderId="7" xfId="0" applyNumberFormat="1" applyFont="1" applyFill="1" applyBorder="1" applyAlignment="1">
      <alignment horizontal="center"/>
    </xf>
    <xf numFmtId="0" fontId="8" fillId="6" borderId="8" xfId="0" applyFont="1" applyFill="1" applyBorder="1" applyAlignment="1">
      <alignment horizontal="left" indent="1"/>
    </xf>
    <xf numFmtId="8" fontId="8" fillId="6" borderId="9" xfId="0" applyNumberFormat="1" applyFont="1" applyFill="1" applyBorder="1" applyAlignment="1">
      <alignment horizontal="center"/>
    </xf>
    <xf numFmtId="8" fontId="8" fillId="6" borderId="10" xfId="0" applyNumberFormat="1" applyFont="1" applyFill="1" applyBorder="1" applyAlignment="1">
      <alignment horizontal="center"/>
    </xf>
    <xf numFmtId="0" fontId="9" fillId="9" borderId="2" xfId="0" applyFont="1" applyFill="1" applyBorder="1" applyAlignment="1">
      <alignment horizontal="left" indent="1"/>
    </xf>
    <xf numFmtId="0" fontId="9" fillId="9" borderId="3" xfId="0" applyFont="1" applyFill="1" applyBorder="1" applyAlignment="1">
      <alignment horizontal="left" indent="1"/>
    </xf>
    <xf numFmtId="0" fontId="10" fillId="3" borderId="4" xfId="4" applyFont="1" applyBorder="1" applyAlignment="1">
      <alignment horizontal="center"/>
    </xf>
    <xf numFmtId="0" fontId="9" fillId="9" borderId="8" xfId="0" applyFont="1" applyFill="1" applyBorder="1" applyAlignment="1">
      <alignment horizontal="left" indent="1"/>
    </xf>
    <xf numFmtId="0" fontId="9" fillId="9" borderId="9" xfId="0" applyFont="1" applyFill="1" applyBorder="1" applyAlignment="1">
      <alignment horizontal="left" indent="1"/>
    </xf>
    <xf numFmtId="164" fontId="11" fillId="9" borderId="10" xfId="0" applyNumberFormat="1" applyFont="1" applyFill="1" applyBorder="1" applyAlignment="1">
      <alignment horizontal="center"/>
    </xf>
    <xf numFmtId="0" fontId="12" fillId="8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9" fontId="8" fillId="0" borderId="0" xfId="1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8" fillId="8" borderId="0" xfId="0" applyFont="1" applyFill="1" applyAlignment="1">
      <alignment horizontal="center"/>
    </xf>
    <xf numFmtId="164" fontId="12" fillId="8" borderId="0" xfId="0" applyNumberFormat="1" applyFont="1" applyFill="1" applyAlignment="1">
      <alignment horizontal="center"/>
    </xf>
    <xf numFmtId="0" fontId="13" fillId="0" borderId="0" xfId="0" applyFont="1"/>
    <xf numFmtId="0" fontId="7" fillId="10" borderId="0" xfId="0" applyFont="1" applyFill="1"/>
    <xf numFmtId="9" fontId="8" fillId="0" borderId="0" xfId="0" applyNumberFormat="1" applyFont="1"/>
    <xf numFmtId="0" fontId="10" fillId="3" borderId="12" xfId="4" applyFont="1" applyBorder="1" applyAlignment="1">
      <alignment horizontal="center"/>
    </xf>
    <xf numFmtId="9" fontId="11" fillId="9" borderId="12" xfId="1" applyFont="1" applyFill="1" applyBorder="1" applyAlignment="1">
      <alignment horizontal="center"/>
    </xf>
    <xf numFmtId="0" fontId="8" fillId="0" borderId="11" xfId="0" applyFont="1" applyBorder="1"/>
    <xf numFmtId="9" fontId="8" fillId="0" borderId="11" xfId="0" applyNumberFormat="1" applyFont="1" applyBorder="1"/>
  </cellXfs>
  <cellStyles count="5">
    <cellStyle name="Moeda" xfId="3" builtinId="4"/>
    <cellStyle name="Neutra 2" xfId="2"/>
    <cellStyle name="Normal" xfId="0" builtinId="0"/>
    <cellStyle name="Porcentagem" xfId="1" builtinId="5"/>
    <cellStyle name="Saída" xfId="4" builtinId="21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33CC33"/>
      <color rgb="FF4D7620"/>
      <color rgb="FF66CCFF"/>
      <color rgb="FF9933FF"/>
      <color rgb="FF0066FF"/>
      <color rgb="FF3366FF"/>
      <color rgb="FF0000FF"/>
      <color rgb="FF00800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pieChart>
        <c:varyColors val="1"/>
        <c:ser>
          <c:idx val="0"/>
          <c:order val="0"/>
          <c:explosion val="25"/>
          <c:dLbls>
            <c:txPr>
              <a:bodyPr/>
              <a:lstStyle/>
              <a:p>
                <a:pPr>
                  <a:defRPr sz="1050">
                    <a:latin typeface="Ebrima" panose="02000000000000000000" pitchFamily="2" charset="0"/>
                    <a:ea typeface="Ebrima" panose="02000000000000000000" pitchFamily="2" charset="0"/>
                    <a:cs typeface="Ebrima" panose="020000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INVEST!$B$45:$B$50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INVEST!$C$45:$C$50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t"/>
      <c:layout/>
      <c:overlay val="0"/>
      <c:txPr>
        <a:bodyPr/>
        <a:lstStyle/>
        <a:p>
          <a:pPr>
            <a:defRPr sz="1100"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defRPr>
          </a:pPr>
          <a:endParaRPr lang="pt-B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52</xdr:row>
      <xdr:rowOff>38100</xdr:rowOff>
    </xdr:from>
    <xdr:to>
      <xdr:col>4</xdr:col>
      <xdr:colOff>247651</xdr:colOff>
      <xdr:row>67</xdr:row>
      <xdr:rowOff>161925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625127</xdr:colOff>
      <xdr:row>0</xdr:row>
      <xdr:rowOff>184516</xdr:rowOff>
    </xdr:from>
    <xdr:to>
      <xdr:col>4</xdr:col>
      <xdr:colOff>38100</xdr:colOff>
      <xdr:row>8</xdr:row>
      <xdr:rowOff>85725</xdr:rowOff>
    </xdr:to>
    <xdr:pic>
      <xdr:nvPicPr>
        <xdr:cNvPr id="5" name="Imagem 4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25000"/>
                  </a14:imgEffect>
                </a14:imgLayer>
              </a14:imgProps>
            </a:ext>
          </a:extLst>
        </a:blip>
        <a:srcRect t="8747" b="9428"/>
        <a:stretch/>
      </xdr:blipFill>
      <xdr:spPr>
        <a:xfrm>
          <a:off x="625127" y="184516"/>
          <a:ext cx="5251798" cy="1425209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33CC33"/>
  </sheetPr>
  <dimension ref="A8:F68"/>
  <sheetViews>
    <sheetView showGridLines="0" tabSelected="1" workbookViewId="0">
      <selection activeCell="F51" sqref="F51"/>
    </sheetView>
  </sheetViews>
  <sheetFormatPr defaultColWidth="0" defaultRowHeight="15" x14ac:dyDescent="0.25"/>
  <cols>
    <col min="1" max="1" width="9.85546875" customWidth="1"/>
    <col min="2" max="2" width="41.140625" customWidth="1"/>
    <col min="3" max="3" width="22.5703125" customWidth="1"/>
    <col min="4" max="4" width="14" customWidth="1"/>
    <col min="5" max="5" width="5.42578125" customWidth="1"/>
    <col min="6" max="6" width="6.28515625" customWidth="1"/>
    <col min="7" max="16384" width="9.140625" hidden="1"/>
  </cols>
  <sheetData>
    <row r="8" spans="1:5" s="2" customFormat="1" x14ac:dyDescent="0.25"/>
    <row r="9" spans="1:5" s="2" customFormat="1" x14ac:dyDescent="0.25"/>
    <row r="10" spans="1:5" ht="15.75" thickBot="1" x14ac:dyDescent="0.3"/>
    <row r="11" spans="1:5" ht="17.25" x14ac:dyDescent="0.3">
      <c r="A11" s="3"/>
      <c r="B11" s="5" t="s">
        <v>0</v>
      </c>
      <c r="C11" s="6"/>
      <c r="D11" s="7"/>
      <c r="E11" s="3"/>
    </row>
    <row r="12" spans="1:5" ht="17.25" x14ac:dyDescent="0.3">
      <c r="A12" s="3"/>
      <c r="B12" s="8" t="s">
        <v>1</v>
      </c>
      <c r="C12" s="9"/>
      <c r="D12" s="10">
        <v>3000</v>
      </c>
      <c r="E12" s="3"/>
    </row>
    <row r="13" spans="1:5" ht="17.25" x14ac:dyDescent="0.3">
      <c r="A13" s="3"/>
      <c r="B13" s="8" t="s">
        <v>2</v>
      </c>
      <c r="C13" s="9"/>
      <c r="D13" s="11">
        <v>6.0000000000000001E-3</v>
      </c>
      <c r="E13" s="3"/>
    </row>
    <row r="14" spans="1:5" ht="18" thickBot="1" x14ac:dyDescent="0.35">
      <c r="A14" s="3"/>
      <c r="B14" s="12" t="s">
        <v>3</v>
      </c>
      <c r="C14" s="13"/>
      <c r="D14" s="14">
        <f>salario*30%</f>
        <v>900</v>
      </c>
      <c r="E14" s="3"/>
    </row>
    <row r="15" spans="1:5" s="1" customFormat="1" ht="18" thickBot="1" x14ac:dyDescent="0.35">
      <c r="A15" s="3"/>
      <c r="B15" s="15"/>
      <c r="C15" s="15"/>
      <c r="D15" s="15"/>
      <c r="E15" s="3"/>
    </row>
    <row r="16" spans="1:5" s="1" customFormat="1" ht="17.25" x14ac:dyDescent="0.3">
      <c r="A16" s="3"/>
      <c r="B16" s="16" t="s">
        <v>45</v>
      </c>
      <c r="C16" s="17"/>
      <c r="D16" s="18"/>
      <c r="E16" s="3"/>
    </row>
    <row r="17" spans="1:5" s="1" customFormat="1" ht="17.25" x14ac:dyDescent="0.3">
      <c r="A17" s="3"/>
      <c r="B17" s="19" t="s">
        <v>32</v>
      </c>
      <c r="C17" s="20"/>
      <c r="D17" s="21">
        <v>165</v>
      </c>
      <c r="E17" s="3"/>
    </row>
    <row r="18" spans="1:5" s="1" customFormat="1" ht="17.25" x14ac:dyDescent="0.3">
      <c r="A18" s="3"/>
      <c r="B18" s="19" t="s">
        <v>33</v>
      </c>
      <c r="C18" s="20"/>
      <c r="D18" s="21">
        <v>158</v>
      </c>
      <c r="E18" s="3"/>
    </row>
    <row r="19" spans="1:5" s="2" customFormat="1" ht="17.25" x14ac:dyDescent="0.3">
      <c r="A19" s="3"/>
      <c r="B19" s="19" t="s">
        <v>36</v>
      </c>
      <c r="C19" s="20"/>
      <c r="D19" s="21">
        <v>1.1000000000000001</v>
      </c>
      <c r="E19" s="3"/>
    </row>
    <row r="20" spans="1:5" s="1" customFormat="1" ht="17.25" x14ac:dyDescent="0.3">
      <c r="A20" s="3"/>
      <c r="B20" s="19" t="s">
        <v>38</v>
      </c>
      <c r="C20" s="20"/>
      <c r="D20" s="21">
        <v>160</v>
      </c>
      <c r="E20" s="3"/>
    </row>
    <row r="21" spans="1:5" s="1" customFormat="1" ht="17.25" x14ac:dyDescent="0.3">
      <c r="A21" s="3"/>
      <c r="B21" s="19" t="s">
        <v>34</v>
      </c>
      <c r="C21" s="20"/>
      <c r="D21" s="22">
        <f>preco_atual_cota/valor_patrimonial_acao</f>
        <v>1.0443037974683544</v>
      </c>
      <c r="E21" s="3"/>
    </row>
    <row r="22" spans="1:5" s="1" customFormat="1" ht="17.25" x14ac:dyDescent="0.3">
      <c r="A22" s="3"/>
      <c r="B22" s="19" t="s">
        <v>35</v>
      </c>
      <c r="C22" s="20"/>
      <c r="D22" s="23" t="str">
        <f>IF(preco_sobre_valor_patrimonial&lt;1,"Desconto","Caro")</f>
        <v>Caro</v>
      </c>
      <c r="E22" s="3"/>
    </row>
    <row r="23" spans="1:5" s="1" customFormat="1" ht="17.25" x14ac:dyDescent="0.3">
      <c r="A23" s="3"/>
      <c r="B23" s="19" t="s">
        <v>37</v>
      </c>
      <c r="C23" s="20"/>
      <c r="D23" s="23">
        <f>ROUNDUP(preco_atual_cota/ultimo_dividendo,0)</f>
        <v>150</v>
      </c>
      <c r="E23" s="3"/>
    </row>
    <row r="24" spans="1:5" s="1" customFormat="1" ht="18" thickBot="1" x14ac:dyDescent="0.35">
      <c r="A24" s="3"/>
      <c r="B24" s="24" t="s">
        <v>39</v>
      </c>
      <c r="C24" s="25"/>
      <c r="D24" s="26">
        <f>ultimo_dividendo/valor_medio_cota</f>
        <v>6.8750000000000009E-3</v>
      </c>
      <c r="E24" s="3"/>
    </row>
    <row r="25" spans="1:5" ht="18" thickBot="1" x14ac:dyDescent="0.35">
      <c r="A25" s="3"/>
      <c r="B25" s="15"/>
      <c r="C25" s="15"/>
      <c r="D25" s="15"/>
      <c r="E25" s="3"/>
    </row>
    <row r="26" spans="1:5" ht="17.25" x14ac:dyDescent="0.3">
      <c r="A26" s="3"/>
      <c r="B26" s="27" t="s">
        <v>4</v>
      </c>
      <c r="C26" s="28"/>
      <c r="D26" s="29"/>
      <c r="E26" s="3"/>
    </row>
    <row r="27" spans="1:5" ht="17.25" x14ac:dyDescent="0.3">
      <c r="A27" s="3"/>
      <c r="B27" s="30" t="s">
        <v>5</v>
      </c>
      <c r="C27" s="31"/>
      <c r="D27" s="21">
        <v>200</v>
      </c>
      <c r="E27" s="3"/>
    </row>
    <row r="28" spans="1:5" ht="17.25" x14ac:dyDescent="0.3">
      <c r="A28" s="3"/>
      <c r="B28" s="30" t="s">
        <v>6</v>
      </c>
      <c r="C28" s="31"/>
      <c r="D28" s="32">
        <v>2</v>
      </c>
      <c r="E28" s="3"/>
    </row>
    <row r="29" spans="1:5" ht="17.25" x14ac:dyDescent="0.3">
      <c r="A29" s="3"/>
      <c r="B29" s="30" t="s">
        <v>7</v>
      </c>
      <c r="C29" s="31"/>
      <c r="D29" s="33">
        <v>1.0789999999999999E-2</v>
      </c>
      <c r="E29" s="3"/>
    </row>
    <row r="30" spans="1:5" ht="17.25" x14ac:dyDescent="0.3">
      <c r="A30" s="3"/>
      <c r="B30" s="30" t="s">
        <v>8</v>
      </c>
      <c r="C30" s="31"/>
      <c r="D30" s="34">
        <f>FV(taxa_mensal,qtd_anos*12,aporte*-1)</f>
        <v>5445.5254595290435</v>
      </c>
      <c r="E30" s="3"/>
    </row>
    <row r="31" spans="1:5" ht="18" thickBot="1" x14ac:dyDescent="0.35">
      <c r="A31" s="3"/>
      <c r="B31" s="35" t="s">
        <v>9</v>
      </c>
      <c r="C31" s="36"/>
      <c r="D31" s="37">
        <f>patrimonio*rendimento_carteira</f>
        <v>32.673152757174265</v>
      </c>
      <c r="E31" s="3"/>
    </row>
    <row r="32" spans="1:5" ht="18" thickBot="1" x14ac:dyDescent="0.35">
      <c r="A32" s="3"/>
      <c r="B32" s="15"/>
      <c r="C32" s="15"/>
      <c r="D32" s="15"/>
      <c r="E32" s="3"/>
    </row>
    <row r="33" spans="1:5" ht="17.25" x14ac:dyDescent="0.3">
      <c r="A33" s="3"/>
      <c r="B33" s="38" t="s">
        <v>10</v>
      </c>
      <c r="C33" s="39"/>
      <c r="D33" s="40"/>
      <c r="E33" s="3"/>
    </row>
    <row r="34" spans="1:5" ht="17.25" x14ac:dyDescent="0.3">
      <c r="A34" s="3"/>
      <c r="B34" s="41"/>
      <c r="C34" s="42"/>
      <c r="D34" s="43" t="s">
        <v>11</v>
      </c>
      <c r="E34" s="3"/>
    </row>
    <row r="35" spans="1:5" ht="17.25" x14ac:dyDescent="0.3">
      <c r="A35" s="4">
        <v>2</v>
      </c>
      <c r="B35" s="44" t="s">
        <v>12</v>
      </c>
      <c r="C35" s="45">
        <f>FV(taxa_mensal,$A35*12,aporte*-1)</f>
        <v>5445.5254595290435</v>
      </c>
      <c r="D35" s="46">
        <f>C35*rendimento_carteira</f>
        <v>32.673152757174265</v>
      </c>
      <c r="E35" s="3"/>
    </row>
    <row r="36" spans="1:5" ht="17.25" x14ac:dyDescent="0.3">
      <c r="A36" s="4">
        <v>5</v>
      </c>
      <c r="B36" s="44" t="s">
        <v>13</v>
      </c>
      <c r="C36" s="45">
        <f>FV(taxa_mensal,$A36*12,aporte*-1)</f>
        <v>16755.382799697527</v>
      </c>
      <c r="D36" s="46">
        <f>C36*rendimento_carteira</f>
        <v>100.53229679818516</v>
      </c>
      <c r="E36" s="3"/>
    </row>
    <row r="37" spans="1:5" ht="17.25" x14ac:dyDescent="0.3">
      <c r="A37" s="4">
        <v>10</v>
      </c>
      <c r="B37" s="44" t="s">
        <v>14</v>
      </c>
      <c r="C37" s="45">
        <f>FV(taxa_mensal,$A37*12,aporte*-1)</f>
        <v>48656.842506034438</v>
      </c>
      <c r="D37" s="46">
        <f>C37*rendimento_carteira</f>
        <v>291.94105503620665</v>
      </c>
      <c r="E37" s="3"/>
    </row>
    <row r="38" spans="1:5" ht="17.25" x14ac:dyDescent="0.3">
      <c r="A38" s="4">
        <v>20</v>
      </c>
      <c r="B38" s="44" t="s">
        <v>15</v>
      </c>
      <c r="C38" s="45">
        <f>FV(taxa_mensal,$A38*12,aporte*-1)</f>
        <v>225039.68001941612</v>
      </c>
      <c r="D38" s="46">
        <f>C38*rendimento_carteira</f>
        <v>1350.2380801164968</v>
      </c>
      <c r="E38" s="3"/>
    </row>
    <row r="39" spans="1:5" ht="18" thickBot="1" x14ac:dyDescent="0.35">
      <c r="A39" s="4">
        <v>30</v>
      </c>
      <c r="B39" s="47" t="s">
        <v>16</v>
      </c>
      <c r="C39" s="48">
        <f>FV(taxa_mensal,$A39*12,aporte*-1)</f>
        <v>864433.93100094295</v>
      </c>
      <c r="D39" s="49">
        <f>C39*rendimento_carteira</f>
        <v>5186.6035860056581</v>
      </c>
      <c r="E39" s="3"/>
    </row>
    <row r="40" spans="1:5" ht="18" thickBot="1" x14ac:dyDescent="0.35">
      <c r="A40" s="3"/>
      <c r="B40" s="15"/>
      <c r="C40" s="15"/>
      <c r="D40" s="15"/>
      <c r="E40" s="3"/>
    </row>
    <row r="41" spans="1:5" ht="17.25" x14ac:dyDescent="0.3">
      <c r="A41" s="3"/>
      <c r="B41" s="50" t="s">
        <v>17</v>
      </c>
      <c r="C41" s="51"/>
      <c r="D41" s="52" t="s">
        <v>44</v>
      </c>
      <c r="E41" s="3"/>
    </row>
    <row r="42" spans="1:5" ht="18" thickBot="1" x14ac:dyDescent="0.35">
      <c r="A42" s="3"/>
      <c r="B42" s="53" t="s">
        <v>18</v>
      </c>
      <c r="C42" s="54"/>
      <c r="D42" s="55">
        <f>aporte</f>
        <v>200</v>
      </c>
      <c r="E42" s="3"/>
    </row>
    <row r="43" spans="1:5" ht="17.25" x14ac:dyDescent="0.3">
      <c r="A43" s="3"/>
      <c r="B43" s="15"/>
      <c r="C43" s="15"/>
      <c r="D43" s="15"/>
      <c r="E43" s="3"/>
    </row>
    <row r="44" spans="1:5" ht="17.25" x14ac:dyDescent="0.3">
      <c r="A44" s="3"/>
      <c r="B44" s="56" t="s">
        <v>19</v>
      </c>
      <c r="C44" s="56" t="s">
        <v>20</v>
      </c>
      <c r="D44" s="56" t="s">
        <v>21</v>
      </c>
      <c r="E44" s="3"/>
    </row>
    <row r="45" spans="1:5" ht="17.25" x14ac:dyDescent="0.3">
      <c r="A45" s="3"/>
      <c r="B45" s="57" t="s">
        <v>22</v>
      </c>
      <c r="C45" s="58">
        <f>VLOOKUP($D$41&amp;"-"&amp;$B45,'Percentual por Perfil'!B2:E20,4,FALSE)</f>
        <v>0.5</v>
      </c>
      <c r="D45" s="59">
        <f>C45*$D$42</f>
        <v>100</v>
      </c>
      <c r="E45" s="3"/>
    </row>
    <row r="46" spans="1:5" ht="17.25" x14ac:dyDescent="0.3">
      <c r="A46" s="3"/>
      <c r="B46" s="57" t="s">
        <v>23</v>
      </c>
      <c r="C46" s="58">
        <f>VLOOKUP($D$41&amp;"-"&amp;$B46,'Percentual por Perfil'!B3:E21,4,FALSE)</f>
        <v>0.1</v>
      </c>
      <c r="D46" s="59">
        <f t="shared" ref="D46:D50" si="0">C46*$D$42</f>
        <v>20</v>
      </c>
      <c r="E46" s="3"/>
    </row>
    <row r="47" spans="1:5" ht="17.25" x14ac:dyDescent="0.3">
      <c r="A47" s="3"/>
      <c r="B47" s="57" t="s">
        <v>24</v>
      </c>
      <c r="C47" s="58">
        <f>VLOOKUP($D$41&amp;"-"&amp;$B47,'Percentual por Perfil'!B4:E22,4,FALSE)</f>
        <v>0.05</v>
      </c>
      <c r="D47" s="59">
        <f t="shared" si="0"/>
        <v>10</v>
      </c>
      <c r="E47" s="3"/>
    </row>
    <row r="48" spans="1:5" ht="17.25" x14ac:dyDescent="0.3">
      <c r="A48" s="3"/>
      <c r="B48" s="57" t="s">
        <v>25</v>
      </c>
      <c r="C48" s="58">
        <f>VLOOKUP($D$41&amp;"-"&amp;$B48,'Percentual por Perfil'!B5:E23,4,FALSE)</f>
        <v>0.05</v>
      </c>
      <c r="D48" s="59">
        <f t="shared" si="0"/>
        <v>10</v>
      </c>
      <c r="E48" s="3"/>
    </row>
    <row r="49" spans="1:5" ht="17.25" x14ac:dyDescent="0.3">
      <c r="A49" s="3"/>
      <c r="B49" s="57" t="s">
        <v>26</v>
      </c>
      <c r="C49" s="58">
        <f>VLOOKUP($D$41&amp;"-"&amp;$B49,'Percentual por Perfil'!B6:E24,4,FALSE)</f>
        <v>0.2</v>
      </c>
      <c r="D49" s="59">
        <f t="shared" si="0"/>
        <v>40</v>
      </c>
      <c r="E49" s="3"/>
    </row>
    <row r="50" spans="1:5" ht="17.25" x14ac:dyDescent="0.3">
      <c r="A50" s="3"/>
      <c r="B50" s="57" t="s">
        <v>27</v>
      </c>
      <c r="C50" s="58">
        <f>VLOOKUP($D$41&amp;"-"&amp;$B50,'Percentual por Perfil'!B7:E25,4,FALSE)</f>
        <v>0.1</v>
      </c>
      <c r="D50" s="59">
        <f t="shared" si="0"/>
        <v>20</v>
      </c>
      <c r="E50" s="3"/>
    </row>
    <row r="51" spans="1:5" ht="17.25" x14ac:dyDescent="0.3">
      <c r="A51" s="3"/>
      <c r="B51" s="60"/>
      <c r="C51" s="60"/>
      <c r="D51" s="61">
        <f>SUM(D45:D50)</f>
        <v>200</v>
      </c>
      <c r="E51" s="3"/>
    </row>
    <row r="52" spans="1:5" ht="17.25" x14ac:dyDescent="0.3">
      <c r="A52" s="3"/>
      <c r="B52" s="15"/>
      <c r="C52" s="15"/>
      <c r="D52" s="15"/>
      <c r="E52" s="3"/>
    </row>
    <row r="53" spans="1:5" ht="17.25" x14ac:dyDescent="0.3">
      <c r="A53" s="3"/>
      <c r="B53" s="15"/>
      <c r="C53" s="15"/>
      <c r="D53" s="15"/>
      <c r="E53" s="3"/>
    </row>
    <row r="54" spans="1:5" ht="17.25" x14ac:dyDescent="0.3">
      <c r="A54" s="3"/>
      <c r="B54" s="15"/>
      <c r="C54" s="15"/>
      <c r="D54" s="15"/>
      <c r="E54" s="3"/>
    </row>
    <row r="55" spans="1:5" ht="17.25" x14ac:dyDescent="0.3">
      <c r="A55" s="3"/>
      <c r="B55" s="15"/>
      <c r="C55" s="15"/>
      <c r="D55" s="15"/>
      <c r="E55" s="3"/>
    </row>
    <row r="56" spans="1:5" ht="17.25" x14ac:dyDescent="0.3">
      <c r="A56" s="3"/>
      <c r="B56" s="15"/>
      <c r="C56" s="15"/>
      <c r="D56" s="15"/>
      <c r="E56" s="3"/>
    </row>
    <row r="57" spans="1:5" ht="17.25" x14ac:dyDescent="0.3">
      <c r="A57" s="3"/>
      <c r="B57" s="15"/>
      <c r="C57" s="15"/>
      <c r="D57" s="15"/>
      <c r="E57" s="3"/>
    </row>
    <row r="58" spans="1:5" ht="17.25" x14ac:dyDescent="0.3">
      <c r="A58" s="3"/>
      <c r="B58" s="15"/>
      <c r="C58" s="15"/>
      <c r="D58" s="15"/>
      <c r="E58" s="3"/>
    </row>
    <row r="59" spans="1:5" ht="17.25" x14ac:dyDescent="0.3">
      <c r="A59" s="3"/>
      <c r="B59" s="15"/>
      <c r="C59" s="15"/>
      <c r="D59" s="15"/>
      <c r="E59" s="3"/>
    </row>
    <row r="60" spans="1:5" ht="17.25" x14ac:dyDescent="0.3">
      <c r="A60" s="3"/>
      <c r="B60" s="15"/>
      <c r="C60" s="15"/>
      <c r="D60" s="15"/>
      <c r="E60" s="3"/>
    </row>
    <row r="61" spans="1:5" ht="17.25" x14ac:dyDescent="0.3">
      <c r="A61" s="3"/>
      <c r="B61" s="15"/>
      <c r="C61" s="15"/>
      <c r="D61" s="15"/>
      <c r="E61" s="3"/>
    </row>
    <row r="62" spans="1:5" ht="17.25" x14ac:dyDescent="0.3">
      <c r="A62" s="3"/>
      <c r="B62" s="15"/>
      <c r="C62" s="15"/>
      <c r="D62" s="15"/>
      <c r="E62" s="3"/>
    </row>
    <row r="63" spans="1:5" ht="17.25" x14ac:dyDescent="0.3">
      <c r="A63" s="3"/>
      <c r="B63" s="15"/>
      <c r="C63" s="15"/>
      <c r="D63" s="15"/>
      <c r="E63" s="3"/>
    </row>
    <row r="64" spans="1:5" ht="17.25" x14ac:dyDescent="0.3">
      <c r="A64" s="3"/>
      <c r="B64" s="15"/>
      <c r="C64" s="15"/>
      <c r="D64" s="15"/>
      <c r="E64" s="3"/>
    </row>
    <row r="65" spans="1:5" ht="17.25" x14ac:dyDescent="0.3">
      <c r="A65" s="3"/>
      <c r="B65" s="15"/>
      <c r="C65" s="15"/>
      <c r="D65" s="15"/>
      <c r="E65" s="3"/>
    </row>
    <row r="66" spans="1:5" ht="17.25" x14ac:dyDescent="0.3">
      <c r="A66" s="3"/>
      <c r="B66" s="15"/>
      <c r="C66" s="15"/>
      <c r="D66" s="15"/>
      <c r="E66" s="3"/>
    </row>
    <row r="67" spans="1:5" ht="15.75" x14ac:dyDescent="0.25">
      <c r="B67" s="62"/>
      <c r="C67" s="62"/>
      <c r="D67" s="62"/>
    </row>
    <row r="68" spans="1:5" ht="15.75" x14ac:dyDescent="0.25">
      <c r="B68" s="62"/>
      <c r="C68" s="62"/>
      <c r="D68" s="62"/>
    </row>
  </sheetData>
  <mergeCells count="23">
    <mergeCell ref="B26:D26"/>
    <mergeCell ref="B33:D33"/>
    <mergeCell ref="B41:C41"/>
    <mergeCell ref="B42:C42"/>
    <mergeCell ref="B27:C27"/>
    <mergeCell ref="B28:C28"/>
    <mergeCell ref="B29:C29"/>
    <mergeCell ref="B30:C30"/>
    <mergeCell ref="B31:C31"/>
    <mergeCell ref="B34:C34"/>
    <mergeCell ref="B20:C20"/>
    <mergeCell ref="B21:C21"/>
    <mergeCell ref="B22:C22"/>
    <mergeCell ref="B23:C23"/>
    <mergeCell ref="B24:C24"/>
    <mergeCell ref="B17:C17"/>
    <mergeCell ref="B18:C18"/>
    <mergeCell ref="B19:C19"/>
    <mergeCell ref="B11:D11"/>
    <mergeCell ref="B16:D16"/>
    <mergeCell ref="B12:C12"/>
    <mergeCell ref="B13:C13"/>
    <mergeCell ref="B14:C14"/>
  </mergeCells>
  <dataValidations count="1">
    <dataValidation type="list" allowBlank="1" showInputMessage="1" showErrorMessage="1" sqref="D41">
      <formula1>"Agressivo,Moderado,Conservador"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0"/>
  <sheetViews>
    <sheetView showGridLines="0" topLeftCell="A2" workbookViewId="0">
      <selection activeCell="H7" sqref="H7"/>
    </sheetView>
  </sheetViews>
  <sheetFormatPr defaultRowHeight="15" x14ac:dyDescent="0.25"/>
  <cols>
    <col min="2" max="2" width="36.5703125" bestFit="1" customWidth="1"/>
    <col min="3" max="3" width="14.140625" bestFit="1" customWidth="1"/>
    <col min="4" max="4" width="22.5703125" bestFit="1" customWidth="1"/>
    <col min="5" max="5" width="5.7109375" bestFit="1" customWidth="1"/>
    <col min="8" max="8" width="31.28515625" bestFit="1" customWidth="1"/>
    <col min="9" max="9" width="9.28515625" bestFit="1" customWidth="1"/>
  </cols>
  <sheetData>
    <row r="2" spans="2:9" ht="17.25" x14ac:dyDescent="0.3">
      <c r="B2" s="63" t="s">
        <v>40</v>
      </c>
      <c r="C2" s="63" t="s">
        <v>17</v>
      </c>
      <c r="D2" s="63" t="s">
        <v>19</v>
      </c>
      <c r="E2" s="63" t="s">
        <v>41</v>
      </c>
      <c r="F2" s="62"/>
      <c r="G2" s="62"/>
      <c r="H2" s="62"/>
      <c r="I2" s="62"/>
    </row>
    <row r="3" spans="2:9" ht="17.25" x14ac:dyDescent="0.3">
      <c r="B3" s="15" t="str">
        <f>C3&amp;"-"&amp;D3</f>
        <v>Conservador-PAPEL</v>
      </c>
      <c r="C3" s="15" t="s">
        <v>42</v>
      </c>
      <c r="D3" s="15" t="s">
        <v>22</v>
      </c>
      <c r="E3" s="64">
        <v>0.3</v>
      </c>
      <c r="F3" s="62"/>
      <c r="G3" s="62"/>
      <c r="H3" s="62"/>
      <c r="I3" s="62"/>
    </row>
    <row r="4" spans="2:9" ht="17.25" x14ac:dyDescent="0.3">
      <c r="B4" s="15" t="str">
        <f t="shared" ref="B4:B20" si="0">C4&amp;"-"&amp;D4</f>
        <v>Conservador-TIJOLO</v>
      </c>
      <c r="C4" s="15" t="s">
        <v>42</v>
      </c>
      <c r="D4" s="15" t="s">
        <v>23</v>
      </c>
      <c r="E4" s="64">
        <v>0.5</v>
      </c>
      <c r="F4" s="62"/>
      <c r="G4" s="62"/>
      <c r="H4" s="62" t="s">
        <v>46</v>
      </c>
      <c r="I4" s="62"/>
    </row>
    <row r="5" spans="2:9" ht="17.25" x14ac:dyDescent="0.3">
      <c r="B5" s="15" t="str">
        <f t="shared" si="0"/>
        <v>Conservador-HÍBRIDOS</v>
      </c>
      <c r="C5" s="15" t="s">
        <v>42</v>
      </c>
      <c r="D5" s="15" t="s">
        <v>24</v>
      </c>
      <c r="E5" s="64">
        <v>0.1</v>
      </c>
      <c r="F5" s="62"/>
      <c r="G5" s="62"/>
      <c r="H5" s="65" t="s">
        <v>47</v>
      </c>
      <c r="I5" s="66">
        <f>VLOOKUP(H5,B2:E20,4,FALSE)</f>
        <v>0.1</v>
      </c>
    </row>
    <row r="6" spans="2:9" ht="17.25" x14ac:dyDescent="0.3">
      <c r="B6" s="15" t="str">
        <f t="shared" si="0"/>
        <v>Conservador-FOFs</v>
      </c>
      <c r="C6" s="15" t="s">
        <v>42</v>
      </c>
      <c r="D6" s="15" t="s">
        <v>25</v>
      </c>
      <c r="E6" s="64">
        <v>0.1</v>
      </c>
      <c r="F6" s="62"/>
      <c r="G6" s="62"/>
      <c r="H6" s="62"/>
      <c r="I6" s="62"/>
    </row>
    <row r="7" spans="2:9" ht="17.25" x14ac:dyDescent="0.3">
      <c r="B7" s="15" t="str">
        <f t="shared" si="0"/>
        <v>Conservador-DESENVOLVIMENTO</v>
      </c>
      <c r="C7" s="15" t="s">
        <v>42</v>
      </c>
      <c r="D7" s="15" t="s">
        <v>26</v>
      </c>
      <c r="E7" s="64">
        <v>0</v>
      </c>
      <c r="F7" s="62"/>
      <c r="G7" s="62"/>
      <c r="H7" s="62"/>
      <c r="I7" s="62"/>
    </row>
    <row r="8" spans="2:9" ht="17.25" x14ac:dyDescent="0.3">
      <c r="B8" s="67" t="str">
        <f t="shared" si="0"/>
        <v>Conservador-HOTELARIAS</v>
      </c>
      <c r="C8" s="67" t="s">
        <v>42</v>
      </c>
      <c r="D8" s="67" t="s">
        <v>27</v>
      </c>
      <c r="E8" s="68">
        <v>0</v>
      </c>
      <c r="F8" s="62"/>
      <c r="G8" s="62"/>
      <c r="H8" s="62"/>
      <c r="I8" s="62"/>
    </row>
    <row r="9" spans="2:9" ht="17.25" x14ac:dyDescent="0.3">
      <c r="B9" s="15" t="str">
        <f t="shared" si="0"/>
        <v>Moderado-PAPEL</v>
      </c>
      <c r="C9" s="15" t="s">
        <v>43</v>
      </c>
      <c r="D9" s="15" t="s">
        <v>22</v>
      </c>
      <c r="E9" s="64">
        <v>0.32</v>
      </c>
      <c r="F9" s="62"/>
      <c r="G9" s="62"/>
      <c r="H9" s="62"/>
      <c r="I9" s="62"/>
    </row>
    <row r="10" spans="2:9" ht="17.25" x14ac:dyDescent="0.3">
      <c r="B10" s="15" t="str">
        <f t="shared" si="0"/>
        <v>Moderado-TIJOLO</v>
      </c>
      <c r="C10" s="15" t="s">
        <v>43</v>
      </c>
      <c r="D10" s="15" t="s">
        <v>23</v>
      </c>
      <c r="E10" s="64">
        <v>0.35</v>
      </c>
      <c r="F10" s="62"/>
      <c r="G10" s="62"/>
      <c r="H10" s="62"/>
      <c r="I10" s="62"/>
    </row>
    <row r="11" spans="2:9" ht="17.25" x14ac:dyDescent="0.3">
      <c r="B11" s="15" t="str">
        <f t="shared" si="0"/>
        <v>Moderado-HÍBRIDOS</v>
      </c>
      <c r="C11" s="15" t="s">
        <v>43</v>
      </c>
      <c r="D11" s="15" t="s">
        <v>24</v>
      </c>
      <c r="E11" s="64">
        <v>0.08</v>
      </c>
      <c r="F11" s="62"/>
      <c r="G11" s="62"/>
      <c r="H11" s="62"/>
      <c r="I11" s="62"/>
    </row>
    <row r="12" spans="2:9" ht="17.25" x14ac:dyDescent="0.3">
      <c r="B12" s="15" t="str">
        <f t="shared" si="0"/>
        <v>Moderado-FOFs</v>
      </c>
      <c r="C12" s="15" t="s">
        <v>43</v>
      </c>
      <c r="D12" s="15" t="s">
        <v>25</v>
      </c>
      <c r="E12" s="64">
        <v>0.05</v>
      </c>
      <c r="F12" s="62"/>
      <c r="G12" s="62"/>
      <c r="H12" s="62"/>
      <c r="I12" s="62"/>
    </row>
    <row r="13" spans="2:9" ht="17.25" x14ac:dyDescent="0.3">
      <c r="B13" s="15" t="str">
        <f t="shared" si="0"/>
        <v>Moderado-DESENVOLVIMENTO</v>
      </c>
      <c r="C13" s="15" t="s">
        <v>43</v>
      </c>
      <c r="D13" s="15" t="s">
        <v>26</v>
      </c>
      <c r="E13" s="64">
        <v>0.1</v>
      </c>
      <c r="F13" s="62"/>
      <c r="G13" s="62"/>
      <c r="H13" s="62"/>
      <c r="I13" s="62"/>
    </row>
    <row r="14" spans="2:9" ht="17.25" x14ac:dyDescent="0.3">
      <c r="B14" s="67" t="str">
        <f t="shared" si="0"/>
        <v>Moderado-HOTELARIAS</v>
      </c>
      <c r="C14" s="67" t="s">
        <v>43</v>
      </c>
      <c r="D14" s="67" t="s">
        <v>27</v>
      </c>
      <c r="E14" s="68">
        <v>0.1</v>
      </c>
      <c r="F14" s="62"/>
      <c r="G14" s="62"/>
      <c r="H14" s="62"/>
      <c r="I14" s="62"/>
    </row>
    <row r="15" spans="2:9" ht="17.25" x14ac:dyDescent="0.3">
      <c r="B15" s="15" t="str">
        <f t="shared" si="0"/>
        <v>Agressivo-PAPEL</v>
      </c>
      <c r="C15" s="15" t="s">
        <v>44</v>
      </c>
      <c r="D15" s="15" t="s">
        <v>22</v>
      </c>
      <c r="E15" s="64">
        <v>0.5</v>
      </c>
      <c r="F15" s="62"/>
      <c r="G15" s="62"/>
      <c r="H15" s="62"/>
      <c r="I15" s="62"/>
    </row>
    <row r="16" spans="2:9" ht="17.25" x14ac:dyDescent="0.3">
      <c r="B16" s="15" t="str">
        <f t="shared" si="0"/>
        <v>Agressivo-TIJOLO</v>
      </c>
      <c r="C16" s="15" t="s">
        <v>44</v>
      </c>
      <c r="D16" s="15" t="s">
        <v>23</v>
      </c>
      <c r="E16" s="64">
        <v>0.1</v>
      </c>
      <c r="F16" s="62"/>
      <c r="G16" s="62"/>
      <c r="H16" s="62"/>
      <c r="I16" s="62"/>
    </row>
    <row r="17" spans="2:9" ht="17.25" x14ac:dyDescent="0.3">
      <c r="B17" s="15" t="str">
        <f t="shared" si="0"/>
        <v>Agressivo-HÍBRIDOS</v>
      </c>
      <c r="C17" s="15" t="s">
        <v>44</v>
      </c>
      <c r="D17" s="15" t="s">
        <v>24</v>
      </c>
      <c r="E17" s="64">
        <v>0.05</v>
      </c>
      <c r="F17" s="62"/>
      <c r="G17" s="62"/>
      <c r="H17" s="62"/>
      <c r="I17" s="62"/>
    </row>
    <row r="18" spans="2:9" ht="17.25" x14ac:dyDescent="0.3">
      <c r="B18" s="15" t="str">
        <f t="shared" si="0"/>
        <v>Agressivo-FOFs</v>
      </c>
      <c r="C18" s="15" t="s">
        <v>44</v>
      </c>
      <c r="D18" s="15" t="s">
        <v>25</v>
      </c>
      <c r="E18" s="64">
        <v>0.05</v>
      </c>
      <c r="F18" s="62"/>
      <c r="G18" s="62"/>
      <c r="H18" s="62"/>
      <c r="I18" s="62"/>
    </row>
    <row r="19" spans="2:9" ht="17.25" x14ac:dyDescent="0.3">
      <c r="B19" s="15" t="str">
        <f t="shared" si="0"/>
        <v>Agressivo-DESENVOLVIMENTO</v>
      </c>
      <c r="C19" s="15" t="s">
        <v>44</v>
      </c>
      <c r="D19" s="15" t="s">
        <v>26</v>
      </c>
      <c r="E19" s="64">
        <v>0.2</v>
      </c>
      <c r="F19" s="62"/>
      <c r="G19" s="62"/>
      <c r="H19" s="62"/>
      <c r="I19" s="62"/>
    </row>
    <row r="20" spans="2:9" ht="17.25" x14ac:dyDescent="0.3">
      <c r="B20" s="67" t="str">
        <f t="shared" si="0"/>
        <v>Agressivo-HOTELARIAS</v>
      </c>
      <c r="C20" s="67" t="s">
        <v>44</v>
      </c>
      <c r="D20" s="67" t="s">
        <v>27</v>
      </c>
      <c r="E20" s="68">
        <v>0.1</v>
      </c>
      <c r="F20" s="62"/>
      <c r="G20" s="62"/>
      <c r="H20" s="62"/>
      <c r="I20" s="62"/>
    </row>
  </sheetData>
  <conditionalFormatting sqref="B2:E20">
    <cfRule type="cellIs" dxfId="0" priority="2" operator="equal">
      <formula>$H$5</formula>
    </cfRule>
  </conditionalFormatting>
  <dataValidations count="1">
    <dataValidation type="list" allowBlank="1" showInputMessage="1" showErrorMessage="1" sqref="H5">
      <formula1>$B$3:$B$20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2"/>
  <sheetViews>
    <sheetView workbookViewId="0">
      <selection activeCell="F17" sqref="F17"/>
    </sheetView>
  </sheetViews>
  <sheetFormatPr defaultRowHeight="15" x14ac:dyDescent="0.25"/>
  <sheetData>
    <row r="2" spans="2:2" x14ac:dyDescent="0.25">
      <c r="B2" t="s">
        <v>28</v>
      </c>
    </row>
    <row r="4" spans="2:2" x14ac:dyDescent="0.25">
      <c r="B4" t="s">
        <v>5</v>
      </c>
    </row>
    <row r="6" spans="2:2" x14ac:dyDescent="0.25">
      <c r="B6" t="s">
        <v>6</v>
      </c>
    </row>
    <row r="8" spans="2:2" x14ac:dyDescent="0.25">
      <c r="B8" t="s">
        <v>29</v>
      </c>
    </row>
    <row r="10" spans="2:2" x14ac:dyDescent="0.25">
      <c r="B10" t="s">
        <v>30</v>
      </c>
    </row>
    <row r="12" spans="2:2" x14ac:dyDescent="0.25">
      <c r="B12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12</vt:i4>
      </vt:variant>
    </vt:vector>
  </HeadingPairs>
  <TitlesOfParts>
    <vt:vector size="15" baseType="lpstr">
      <vt:lpstr>INVEST</vt:lpstr>
      <vt:lpstr>Percentual por Perfil</vt:lpstr>
      <vt:lpstr>Perguntas de Negócio</vt:lpstr>
      <vt:lpstr>aporte</vt:lpstr>
      <vt:lpstr>patrimonio</vt:lpstr>
      <vt:lpstr>preco_atual_cota</vt:lpstr>
      <vt:lpstr>preco_sobre_valor_patrimonial</vt:lpstr>
      <vt:lpstr>qtd_anos</vt:lpstr>
      <vt:lpstr>rendimento_carteira</vt:lpstr>
      <vt:lpstr>salario</vt:lpstr>
      <vt:lpstr>sugestao_investimento</vt:lpstr>
      <vt:lpstr>taxa_mensal</vt:lpstr>
      <vt:lpstr>ultimo_dividendo</vt:lpstr>
      <vt:lpstr>valor_medio_cota</vt:lpstr>
      <vt:lpstr>valor_patrimonial_acao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Hisly</dc:creator>
  <cp:lastModifiedBy>Hisly</cp:lastModifiedBy>
  <dcterms:created xsi:type="dcterms:W3CDTF">2026-01-29T00:00:06Z</dcterms:created>
  <dcterms:modified xsi:type="dcterms:W3CDTF">2026-02-03T01:44:43Z</dcterms:modified>
</cp:coreProperties>
</file>